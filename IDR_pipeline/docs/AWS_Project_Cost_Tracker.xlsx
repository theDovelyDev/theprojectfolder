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b59ec5911a44271/Documents/theDovelyDev/theprojectfolder/IDR_pipeline/docs/"/>
    </mc:Choice>
  </mc:AlternateContent>
  <xr:revisionPtr revIDLastSave="1" documentId="11_53DFD2EE8FEF9EA907672346825E114A8E5283F4" xr6:coauthVersionLast="47" xr6:coauthVersionMax="47" xr10:uidLastSave="{09461B8F-CD1B-43BC-9B84-63D7801AD1C2}"/>
  <bookViews>
    <workbookView xWindow="-108" yWindow="-108" windowWidth="23256" windowHeight="12456" tabRatio="500" activeTab="1" xr2:uid="{00000000-000D-0000-FFFF-FFFF00000000}"/>
  </bookViews>
  <sheets>
    <sheet name="Daily Cost Tracker" sheetId="1" r:id="rId1"/>
    <sheet name="Cost Summary" sheetId="2" r:id="rId2"/>
    <sheet name="Cost Alert Setup" sheetId="3" r:id="rId3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4" i="2" l="1"/>
  <c r="C52" i="2"/>
  <c r="C45" i="2"/>
  <c r="C44" i="2"/>
  <c r="C42" i="2"/>
  <c r="B42" i="2"/>
  <c r="C41" i="2"/>
  <c r="C40" i="2"/>
  <c r="C46" i="2" s="1"/>
  <c r="D32" i="2"/>
  <c r="D31" i="2"/>
  <c r="D30" i="2"/>
  <c r="B15" i="2"/>
  <c r="C14" i="2"/>
  <c r="D14" i="2" s="1"/>
  <c r="C13" i="2"/>
  <c r="D13" i="2" s="1"/>
  <c r="C12" i="2"/>
  <c r="D12" i="2" s="1"/>
  <c r="C11" i="2"/>
  <c r="D11" i="2" s="1"/>
  <c r="C10" i="2"/>
  <c r="D10" i="2" s="1"/>
  <c r="C7" i="2"/>
  <c r="D7" i="2" s="1"/>
  <c r="C6" i="2"/>
  <c r="F5" i="1"/>
  <c r="C9" i="2" s="1"/>
  <c r="D9" i="2" s="1"/>
  <c r="F4" i="1"/>
  <c r="F3" i="1"/>
  <c r="C8" i="2" s="1"/>
  <c r="D8" i="2" s="1"/>
  <c r="F2" i="1"/>
  <c r="F7" i="1" l="1"/>
  <c r="C15" i="2"/>
  <c r="D15" i="2" s="1"/>
  <c r="D6" i="2"/>
</calcChain>
</file>

<file path=xl/sharedStrings.xml><?xml version="1.0" encoding="utf-8"?>
<sst xmlns="http://schemas.openxmlformats.org/spreadsheetml/2006/main" count="188" uniqueCount="155">
  <si>
    <t>Date</t>
  </si>
  <si>
    <t>AWS Service</t>
  </si>
  <si>
    <t>Operation Description</t>
  </si>
  <si>
    <t>Units Used</t>
  </si>
  <si>
    <t>Unit Cost ($)</t>
  </si>
  <si>
    <t>Total Cost ($)</t>
  </si>
  <si>
    <t>Notes/Learnings</t>
  </si>
  <si>
    <t>S3</t>
  </si>
  <si>
    <t>Upload test documents</t>
  </si>
  <si>
    <t>Uploaded 10 sample invoices</t>
  </si>
  <si>
    <t>Textract</t>
  </si>
  <si>
    <t>OCR processing - invoices</t>
  </si>
  <si>
    <t>Tested on various invoice formats</t>
  </si>
  <si>
    <t>Lambda</t>
  </si>
  <si>
    <t>Document processing function</t>
  </si>
  <si>
    <t>Testing trigger from S3</t>
  </si>
  <si>
    <t>Comprehend</t>
  </si>
  <si>
    <t>Entity extraction</t>
  </si>
  <si>
    <t>Extracting vendor names, amounts</t>
  </si>
  <si>
    <t>TOTAL DEVELOPMENT COST</t>
  </si>
  <si>
    <t>AWS Document Processing Pipeline - Cost Summary</t>
  </si>
  <si>
    <t>Development Phase Summary</t>
  </si>
  <si>
    <t>Category</t>
  </si>
  <si>
    <t>Estimated ($)</t>
  </si>
  <si>
    <t>Actual ($)</t>
  </si>
  <si>
    <t>Variance ($)</t>
  </si>
  <si>
    <t>S3 Storage</t>
  </si>
  <si>
    <t>Lambda Functions</t>
  </si>
  <si>
    <t>API Gateway</t>
  </si>
  <si>
    <t>CloudWatch</t>
  </si>
  <si>
    <t>Other Services</t>
  </si>
  <si>
    <t>Lambda (Tag Audit)</t>
  </si>
  <si>
    <t>EventBridge</t>
  </si>
  <si>
    <t>TOTAL</t>
  </si>
  <si>
    <t>Monthly Production Cost Model (500 documents)</t>
  </si>
  <si>
    <t>Service</t>
  </si>
  <si>
    <t>Usage</t>
  </si>
  <si>
    <t>Unit Cost</t>
  </si>
  <si>
    <t>Monthly Cost ($)</t>
  </si>
  <si>
    <t>50 GB</t>
  </si>
  <si>
    <t>$0.023/GB</t>
  </si>
  <si>
    <t>S3 Requests</t>
  </si>
  <si>
    <t>3,000 requests</t>
  </si>
  <si>
    <t>$0.005/1K PUT</t>
  </si>
  <si>
    <t>1,500 invocations</t>
  </si>
  <si>
    <t>$0.0000166667/GB-sec</t>
  </si>
  <si>
    <t>1,000 pages</t>
  </si>
  <si>
    <t>$1.50/1K pages</t>
  </si>
  <si>
    <t>100,000 units</t>
  </si>
  <si>
    <t>$0.0001/unit</t>
  </si>
  <si>
    <t>1,500 requests</t>
  </si>
  <si>
    <t>$3.50/million</t>
  </si>
  <si>
    <t>CloudWatch Logs</t>
  </si>
  <si>
    <t>5 GB</t>
  </si>
  <si>
    <t>$0.50/GB</t>
  </si>
  <si>
    <t>4 invocations/month</t>
  </si>
  <si>
    <t>Free Tier</t>
  </si>
  <si>
    <t>EventBridge (Scheduled)</t>
  </si>
  <si>
    <t>1 rule</t>
  </si>
  <si>
    <t>Data Transfer</t>
  </si>
  <si>
    <t>10 GB out</t>
  </si>
  <si>
    <t>$0.09/GB</t>
  </si>
  <si>
    <t>MONTHLY TOTAL</t>
  </si>
  <si>
    <t>ANNUAL COST</t>
  </si>
  <si>
    <t>ROI Analysis</t>
  </si>
  <si>
    <t>Manual Process</t>
  </si>
  <si>
    <t>Automated Process</t>
  </si>
  <si>
    <t>Monthly staff time (hours)</t>
  </si>
  <si>
    <t>Hourly rate</t>
  </si>
  <si>
    <t>Monthly labor cost</t>
  </si>
  <si>
    <t>Monthly AWS cost</t>
  </si>
  <si>
    <t>TOTAL MONTHLY COST</t>
  </si>
  <si>
    <t>Monthly Savings</t>
  </si>
  <si>
    <t>Annual Savings</t>
  </si>
  <si>
    <t>ROI %</t>
  </si>
  <si>
    <t>Tag Governance Solution Comparison</t>
  </si>
  <si>
    <t>Solution</t>
  </si>
  <si>
    <t>Annual Cost ($)</t>
  </si>
  <si>
    <t>Status</t>
  </si>
  <si>
    <t>Notes</t>
  </si>
  <si>
    <t>AWS Config</t>
  </si>
  <si>
    <t>❌ Not Used</t>
  </si>
  <si>
    <t>Too expensive for learning project</t>
  </si>
  <si>
    <t>Lambda + EventBridge</t>
  </si>
  <si>
    <t>✅ Implemented</t>
  </si>
  <si>
    <t>Within Free Tier - automated weekly audits</t>
  </si>
  <si>
    <t>Manual Script</t>
  </si>
  <si>
    <t>⚠️ Backup</t>
  </si>
  <si>
    <t>audit-tags.sh for on-demand checks</t>
  </si>
  <si>
    <t>Annual Savings (Lambda vs Config)</t>
  </si>
  <si>
    <t>AWS Cost Explorer &amp; Budget Alert Setup Guide</t>
  </si>
  <si>
    <t>Step 1: Enable Cost Explorer</t>
  </si>
  <si>
    <t>1. Log into AWS Console</t>
  </si>
  <si>
    <t>2. Navigate to: Billing Dashboard &gt; Cost Explorer</t>
  </si>
  <si>
    <t>3. Click 'Enable Cost Explorer'</t>
  </si>
  <si>
    <t>4. Wait 24 hours for data population</t>
  </si>
  <si>
    <t>Step 2: Create Budget Alert</t>
  </si>
  <si>
    <t>1. Go to: Billing Dashboard &gt; Budgets</t>
  </si>
  <si>
    <t>2. Click 'Create budget'</t>
  </si>
  <si>
    <t>3. Select 'Monthly cost budget'</t>
  </si>
  <si>
    <t>4. Set budget amount: $25.00 (recommended)</t>
  </si>
  <si>
    <t>5. Set alert threshold: 80% ($20.00)</t>
  </si>
  <si>
    <t>6. Enter your email for notifications</t>
  </si>
  <si>
    <t>Step 3: Daily Cost Tracking</t>
  </si>
  <si>
    <t>1. Check Cost Explorer daily during development</t>
  </si>
  <si>
    <t>2. Filter by service to see breakdown</t>
  </si>
  <si>
    <t>3. Record costs in 'Daily Cost Tracker' sheet</t>
  </si>
  <si>
    <t>4. Take screenshots for portfolio documentation</t>
  </si>
  <si>
    <t>Recommended Alert Thresholds:</t>
  </si>
  <si>
    <t>• 50% of budget: Warning email</t>
  </si>
  <si>
    <t>Helps catch runaway costs early</t>
  </si>
  <si>
    <t>• 80% of budget: Alert email</t>
  </si>
  <si>
    <t>Time to review usage</t>
  </si>
  <si>
    <t>• 100% of budget: Critical alert</t>
  </si>
  <si>
    <t>Stop non-essential testing</t>
  </si>
  <si>
    <t>Free Tier Limits to Monitor:</t>
  </si>
  <si>
    <t>• Lambda: 1M requests/month</t>
  </si>
  <si>
    <t>Track in Cost Explorer</t>
  </si>
  <si>
    <t>• Textract: 1,000 pages/month (3 months)</t>
  </si>
  <si>
    <t>Keep count in tracker</t>
  </si>
  <si>
    <t>• Comprehend: 50K units/month (12 months)</t>
  </si>
  <si>
    <t>Monitor usage closely</t>
  </si>
  <si>
    <t>• S3: 5GB storage, 20K GET, 2K PUT</t>
  </si>
  <si>
    <t>Check S3 metrics</t>
  </si>
  <si>
    <t>Phase 3 Costs:</t>
  </si>
  <si>
    <t>Phase</t>
  </si>
  <si>
    <t>Resource</t>
  </si>
  <si>
    <t>Cost</t>
  </si>
  <si>
    <t>Phase 3</t>
  </si>
  <si>
    <t>Uploads</t>
  </si>
  <si>
    <t>15 documents</t>
  </si>
  <si>
    <t>Within Free Tier</t>
  </si>
  <si>
    <t>DocumentProcessor</t>
  </si>
  <si>
    <t>15 invocations</t>
  </si>
  <si>
    <t>AnalyzeDocument</t>
  </si>
  <si>
    <t>12 pages</t>
  </si>
  <si>
    <t>Within 1,000 page Free Tier</t>
  </si>
  <si>
    <t>Entity Detection</t>
  </si>
  <si>
    <t>12 documents</t>
  </si>
  <si>
    <t>Within 50K unit Free Tier</t>
  </si>
  <si>
    <t>Sentiment Analysis</t>
  </si>
  <si>
    <t>Key Phrases</t>
  </si>
  <si>
    <t>Phase 3 Total</t>
  </si>
  <si>
    <t>Cumulative Project Costs:</t>
  </si>
  <si>
    <t>Time</t>
  </si>
  <si>
    <t>Budget Remaining</t>
  </si>
  <si>
    <t>Pre-Dev Setup</t>
  </si>
  <si>
    <t>1 hour</t>
  </si>
  <si>
    <t>Phase 1: S3 Infrastructure</t>
  </si>
  <si>
    <t>2 hours</t>
  </si>
  <si>
    <t>Side Quest: Tag Governance</t>
  </si>
  <si>
    <t>Phase 3: Textract Testing</t>
  </si>
  <si>
    <t>3 hours</t>
  </si>
  <si>
    <t>Total</t>
  </si>
  <si>
    <t>7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</si>
</sst>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5" formatCode="\$#,##0.0000"/>
    <numFmt numFmtId="166" formatCode="\$#,##0.00"/>
    <numFmt numFmtId="167" formatCode="0.0%"/>
    <numFmt numFmtId="168" formatCode="[$$-409]#,##0.00;[Red]\-[$$-409]#,##0.00"/>
  </numFmts>
  <fonts count="11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b/>
      <sz val="12"/>
      <name val="Cambria"/>
      <charset val="1"/>
    </font>
    <font>
      <b/>
      <sz val="12"/>
      <color rgb="FF0070C0"/>
      <name val="Cambria"/>
      <charset val="1"/>
    </font>
    <font>
      <b/>
      <sz val="14"/>
      <color rgb="FF0070C0"/>
      <name val="Cambria"/>
      <charset val="1"/>
    </font>
    <font>
      <b/>
      <sz val="11"/>
      <name val="Cambria"/>
      <charset val="1"/>
    </font>
    <font>
      <b/>
      <sz val="11"/>
      <color rgb="FF00B050"/>
      <name val="Cambria"/>
      <charset val="1"/>
    </font>
    <font>
      <b/>
      <sz val="14"/>
      <color rgb="FFC00000"/>
      <name val="Cambria"/>
      <charset val="1"/>
    </font>
    <font>
      <b/>
      <sz val="11"/>
      <color rgb="FFC65911"/>
      <name val="Cambria"/>
      <charset val="1"/>
    </font>
    <font>
      <b/>
      <sz val="11"/>
      <color rgb="FF0070C0"/>
      <name val="Cambria"/>
      <charset val="1"/>
    </font>
    <font>
      <b/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E7E6E6"/>
        <bgColor rgb="FFE2EFDA"/>
      </patternFill>
    </fill>
    <fill>
      <patternFill patternType="solid">
        <fgColor rgb="FFD9E1F2"/>
        <bgColor rgb="FFE7E6E6"/>
      </patternFill>
    </fill>
    <fill>
      <patternFill patternType="solid">
        <fgColor rgb="FFFFC000"/>
        <bgColor rgb="FFFF9900"/>
      </patternFill>
    </fill>
    <fill>
      <patternFill patternType="solid">
        <fgColor rgb="FFE2EFDA"/>
        <bgColor rgb="FFE2F0D9"/>
      </patternFill>
    </fill>
    <fill>
      <patternFill patternType="solid">
        <fgColor rgb="FFC6E0B4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F0D9"/>
        <bgColor rgb="FFE2EFDA"/>
      </patternFill>
    </fill>
    <fill>
      <patternFill patternType="solid">
        <fgColor rgb="FFFFF2CC"/>
        <b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7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 vertical="center" wrapText="1"/>
    </xf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166" fontId="3" fillId="3" borderId="0" xfId="0" applyNumberFormat="1" applyFont="1" applyFill="1"/>
    <xf numFmtId="0" fontId="5" fillId="4" borderId="0" xfId="0" applyFont="1" applyFill="1"/>
    <xf numFmtId="166" fontId="2" fillId="5" borderId="0" xfId="0" applyNumberFormat="1" applyFont="1" applyFill="1"/>
    <xf numFmtId="0" fontId="5" fillId="6" borderId="0" xfId="0" applyFont="1" applyFill="1"/>
    <xf numFmtId="0" fontId="5" fillId="0" borderId="0" xfId="0" applyFont="1"/>
    <xf numFmtId="0" fontId="5" fillId="7" borderId="0" xfId="0" applyFont="1" applyFill="1"/>
    <xf numFmtId="166" fontId="5" fillId="0" borderId="0" xfId="0" applyNumberFormat="1" applyFont="1"/>
    <xf numFmtId="0" fontId="3" fillId="0" borderId="0" xfId="0" applyFont="1"/>
    <xf numFmtId="0" fontId="5" fillId="8" borderId="0" xfId="0" applyFont="1" applyFill="1"/>
    <xf numFmtId="0" fontId="5" fillId="9" borderId="0" xfId="0" applyFont="1" applyFill="1"/>
    <xf numFmtId="0" fontId="6" fillId="0" borderId="0" xfId="0" applyFont="1"/>
    <xf numFmtId="166" fontId="6" fillId="0" borderId="0" xfId="0" applyNumberFormat="1" applyFont="1"/>
    <xf numFmtId="167" fontId="0" fillId="0" borderId="0" xfId="0" applyNumberFormat="1"/>
    <xf numFmtId="168" fontId="0" fillId="0" borderId="0" xfId="0" applyNumberFormat="1"/>
    <xf numFmtId="0" fontId="8" fillId="10" borderId="0" xfId="0" applyFont="1" applyFill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0" fontId="10" fillId="0" borderId="0" xfId="0" applyFont="1" applyAlignment="1">
      <alignment vertical="center" wrapText="1"/>
    </xf>
    <xf numFmtId="8" fontId="10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E2EFDA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000"/>
      <rgbColor rgb="FFFF9900"/>
      <rgbColor rgb="FFC65911"/>
      <rgbColor rgb="FF366092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zoomScaleNormal="100" workbookViewId="0">
      <selection activeCell="D3" sqref="D3"/>
    </sheetView>
  </sheetViews>
  <sheetFormatPr defaultColWidth="8.6640625" defaultRowHeight="14.4" x14ac:dyDescent="0.3"/>
  <cols>
    <col min="1" max="1" width="12" customWidth="1"/>
    <col min="2" max="2" width="18" customWidth="1"/>
    <col min="3" max="3" width="30" customWidth="1"/>
    <col min="4" max="6" width="12" customWidth="1"/>
    <col min="7" max="7" width="35" customWidth="1"/>
  </cols>
  <sheetData>
    <row r="1" spans="1:7" ht="27.7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 customHeight="1" x14ac:dyDescent="0.3">
      <c r="A2" s="25">
        <v>45664</v>
      </c>
      <c r="B2" t="s">
        <v>7</v>
      </c>
      <c r="C2" t="s">
        <v>8</v>
      </c>
      <c r="D2">
        <v>10</v>
      </c>
      <c r="E2" s="4">
        <v>5.0000000000000001E-3</v>
      </c>
      <c r="F2" s="5">
        <f>D2*E2</f>
        <v>0.05</v>
      </c>
      <c r="G2" t="s">
        <v>9</v>
      </c>
    </row>
    <row r="3" spans="1:7" ht="15" customHeight="1" x14ac:dyDescent="0.3">
      <c r="A3" s="25">
        <v>45664</v>
      </c>
      <c r="B3" t="s">
        <v>10</v>
      </c>
      <c r="C3" t="s">
        <v>11</v>
      </c>
      <c r="D3">
        <v>15</v>
      </c>
      <c r="E3" s="4">
        <v>0.15</v>
      </c>
      <c r="F3" s="5">
        <f>D3*E3</f>
        <v>2.25</v>
      </c>
      <c r="G3" t="s">
        <v>12</v>
      </c>
    </row>
    <row r="4" spans="1:7" ht="15" customHeight="1" x14ac:dyDescent="0.3">
      <c r="A4" s="25">
        <v>45665</v>
      </c>
      <c r="B4" t="s">
        <v>13</v>
      </c>
      <c r="C4" t="s">
        <v>14</v>
      </c>
      <c r="D4">
        <v>50</v>
      </c>
      <c r="E4" s="4">
        <v>1.9999999999999999E-7</v>
      </c>
      <c r="F4" s="5">
        <f>D4*E4</f>
        <v>9.9999999999999991E-6</v>
      </c>
      <c r="G4" t="s">
        <v>15</v>
      </c>
    </row>
    <row r="5" spans="1:7" ht="15" customHeight="1" x14ac:dyDescent="0.3">
      <c r="A5" s="25">
        <v>45665</v>
      </c>
      <c r="B5" t="s">
        <v>16</v>
      </c>
      <c r="C5" t="s">
        <v>17</v>
      </c>
      <c r="D5">
        <v>25</v>
      </c>
      <c r="E5" s="4">
        <v>1E-4</v>
      </c>
      <c r="F5" s="5">
        <f>D5*E5</f>
        <v>2.5000000000000001E-3</v>
      </c>
      <c r="G5" t="s">
        <v>18</v>
      </c>
    </row>
    <row r="6" spans="1:7" ht="15" customHeight="1" x14ac:dyDescent="0.3">
      <c r="E6" s="4"/>
      <c r="F6" s="5"/>
    </row>
    <row r="7" spans="1:7" ht="15" customHeight="1" x14ac:dyDescent="0.3">
      <c r="A7" s="6" t="s">
        <v>19</v>
      </c>
      <c r="E7" s="4"/>
      <c r="F7" s="7">
        <f>SUM(F2:F5)</f>
        <v>2.3025099999999998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6"/>
  <sheetViews>
    <sheetView tabSelected="1" topLeftCell="D1" zoomScaleNormal="100" workbookViewId="0">
      <selection activeCell="F1" sqref="F1:L1048576"/>
    </sheetView>
  </sheetViews>
  <sheetFormatPr defaultColWidth="8.6640625" defaultRowHeight="14.4" x14ac:dyDescent="0.3"/>
  <cols>
    <col min="1" max="1" width="35" customWidth="1"/>
    <col min="2" max="4" width="20" customWidth="1"/>
    <col min="5" max="5" width="40" customWidth="1"/>
    <col min="6" max="6" width="24" hidden="1" customWidth="1"/>
    <col min="7" max="7" width="0" hidden="1" customWidth="1"/>
    <col min="8" max="8" width="14.77734375" hidden="1" customWidth="1"/>
    <col min="9" max="9" width="17.6640625" hidden="1" customWidth="1"/>
    <col min="10" max="10" width="12.77734375" hidden="1" customWidth="1"/>
    <col min="11" max="11" width="0" hidden="1" customWidth="1"/>
    <col min="12" max="12" width="23.44140625" hidden="1" customWidth="1"/>
  </cols>
  <sheetData>
    <row r="1" spans="1:12" ht="17.25" customHeight="1" x14ac:dyDescent="0.3">
      <c r="A1" s="2" t="s">
        <v>20</v>
      </c>
      <c r="B1" s="2"/>
      <c r="C1" s="2"/>
      <c r="D1" s="2"/>
    </row>
    <row r="3" spans="1:12" ht="15" customHeight="1" x14ac:dyDescent="0.3">
      <c r="A3" s="6" t="s">
        <v>21</v>
      </c>
    </row>
    <row r="5" spans="1:12" ht="15" customHeight="1" x14ac:dyDescent="0.3">
      <c r="A5" s="8" t="s">
        <v>22</v>
      </c>
      <c r="B5" s="8" t="s">
        <v>23</v>
      </c>
      <c r="C5" s="8" t="s">
        <v>24</v>
      </c>
      <c r="D5" s="8" t="s">
        <v>25</v>
      </c>
      <c r="F5" s="23" t="s">
        <v>124</v>
      </c>
    </row>
    <row r="6" spans="1:12" ht="15" customHeight="1" x14ac:dyDescent="0.3">
      <c r="A6" t="s">
        <v>26</v>
      </c>
      <c r="B6" s="5">
        <v>0.5</v>
      </c>
      <c r="C6" s="5">
        <f>SUMIF('Daily Cost Tracker'!B:B,"S3",'Daily Cost Tracker'!F:F)</f>
        <v>0.05</v>
      </c>
      <c r="D6" s="5">
        <f t="shared" ref="D6:D15" si="0">C6-B6</f>
        <v>-0.45</v>
      </c>
    </row>
    <row r="7" spans="1:12" ht="15" customHeight="1" x14ac:dyDescent="0.3">
      <c r="A7" t="s">
        <v>27</v>
      </c>
      <c r="B7" s="5">
        <v>2</v>
      </c>
      <c r="C7" s="5">
        <f>SUMIF('Daily Cost Tracker'!B:B,"Lambda",'Daily Cost Tracker'!F:F)</f>
        <v>9.9999999999999991E-6</v>
      </c>
      <c r="D7" s="5">
        <f t="shared" si="0"/>
        <v>-1.9999899999999999</v>
      </c>
      <c r="F7" s="24" t="s">
        <v>0</v>
      </c>
      <c r="G7" s="24" t="s">
        <v>125</v>
      </c>
      <c r="H7" s="24" t="s">
        <v>35</v>
      </c>
      <c r="I7" s="24" t="s">
        <v>126</v>
      </c>
      <c r="J7" s="24" t="s">
        <v>36</v>
      </c>
      <c r="K7" s="24" t="s">
        <v>127</v>
      </c>
      <c r="L7" s="24" t="s">
        <v>79</v>
      </c>
    </row>
    <row r="8" spans="1:12" ht="15" customHeight="1" x14ac:dyDescent="0.3">
      <c r="A8" t="s">
        <v>10</v>
      </c>
      <c r="B8" s="5">
        <v>7.5</v>
      </c>
      <c r="C8" s="5">
        <f>SUMIF('Daily Cost Tracker'!B:B,"Textract",'Daily Cost Tracker'!F:F)</f>
        <v>2.25</v>
      </c>
      <c r="D8" s="5">
        <f t="shared" si="0"/>
        <v>-5.25</v>
      </c>
      <c r="F8" s="26">
        <v>46053</v>
      </c>
      <c r="G8" s="27" t="s">
        <v>128</v>
      </c>
      <c r="H8" s="27" t="s">
        <v>7</v>
      </c>
      <c r="I8" s="27" t="s">
        <v>129</v>
      </c>
      <c r="J8" s="27" t="s">
        <v>130</v>
      </c>
      <c r="K8" s="28">
        <v>0</v>
      </c>
      <c r="L8" s="27" t="s">
        <v>131</v>
      </c>
    </row>
    <row r="9" spans="1:12" ht="15" customHeight="1" x14ac:dyDescent="0.3">
      <c r="A9" t="s">
        <v>16</v>
      </c>
      <c r="B9" s="5">
        <v>0.5</v>
      </c>
      <c r="C9" s="5">
        <f>SUMIF('Daily Cost Tracker'!B:B,"Comprehend",'Daily Cost Tracker'!F:F)</f>
        <v>2.5000000000000001E-3</v>
      </c>
      <c r="D9" s="5">
        <f t="shared" si="0"/>
        <v>-0.4975</v>
      </c>
      <c r="F9" s="26">
        <v>46053</v>
      </c>
      <c r="G9" s="27" t="s">
        <v>128</v>
      </c>
      <c r="H9" s="27" t="s">
        <v>13</v>
      </c>
      <c r="I9" s="27" t="s">
        <v>132</v>
      </c>
      <c r="J9" s="27" t="s">
        <v>133</v>
      </c>
      <c r="K9" s="28">
        <v>0</v>
      </c>
      <c r="L9" s="27" t="s">
        <v>131</v>
      </c>
    </row>
    <row r="10" spans="1:12" ht="15" customHeight="1" x14ac:dyDescent="0.3">
      <c r="A10" t="s">
        <v>28</v>
      </c>
      <c r="B10" s="5">
        <v>0.1</v>
      </c>
      <c r="C10" s="5">
        <f>SUMIF('Daily Cost Tracker'!B:B,"API Gateway",'Daily Cost Tracker'!F:F)</f>
        <v>0</v>
      </c>
      <c r="D10" s="5">
        <f t="shared" si="0"/>
        <v>-0.1</v>
      </c>
      <c r="F10" s="26">
        <v>46053</v>
      </c>
      <c r="G10" s="27" t="s">
        <v>128</v>
      </c>
      <c r="H10" s="27" t="s">
        <v>10</v>
      </c>
      <c r="I10" s="27" t="s">
        <v>134</v>
      </c>
      <c r="J10" s="27" t="s">
        <v>135</v>
      </c>
      <c r="K10" s="28">
        <v>0</v>
      </c>
      <c r="L10" s="27" t="s">
        <v>136</v>
      </c>
    </row>
    <row r="11" spans="1:12" ht="15" customHeight="1" x14ac:dyDescent="0.3">
      <c r="A11" t="s">
        <v>29</v>
      </c>
      <c r="B11" s="5">
        <v>0.5</v>
      </c>
      <c r="C11" s="5">
        <f>SUMIF('Daily Cost Tracker'!B:B,"CloudWatch",'Daily Cost Tracker'!F:F)</f>
        <v>0</v>
      </c>
      <c r="D11" s="5">
        <f t="shared" si="0"/>
        <v>-0.5</v>
      </c>
      <c r="F11" s="26">
        <v>46053</v>
      </c>
      <c r="G11" s="27" t="s">
        <v>128</v>
      </c>
      <c r="H11" s="27" t="s">
        <v>16</v>
      </c>
      <c r="I11" s="27" t="s">
        <v>137</v>
      </c>
      <c r="J11" s="27" t="s">
        <v>138</v>
      </c>
      <c r="K11" s="28">
        <v>1.2999999999999999E-2</v>
      </c>
      <c r="L11" s="27" t="s">
        <v>139</v>
      </c>
    </row>
    <row r="12" spans="1:12" ht="15" customHeight="1" x14ac:dyDescent="0.3">
      <c r="A12" t="s">
        <v>30</v>
      </c>
      <c r="B12" s="5">
        <v>0</v>
      </c>
      <c r="C12" s="5">
        <f>SUMIF('Daily Cost Tracker'!B:B,"Other",'Daily Cost Tracker'!F:F)</f>
        <v>0</v>
      </c>
      <c r="D12" s="5">
        <f t="shared" si="0"/>
        <v>0</v>
      </c>
      <c r="F12" s="26">
        <v>46053</v>
      </c>
      <c r="G12" s="27" t="s">
        <v>128</v>
      </c>
      <c r="H12" s="27" t="s">
        <v>16</v>
      </c>
      <c r="I12" s="27" t="s">
        <v>140</v>
      </c>
      <c r="J12" s="27" t="s">
        <v>138</v>
      </c>
      <c r="K12" s="28">
        <v>1.2999999999999999E-2</v>
      </c>
      <c r="L12" s="27" t="s">
        <v>139</v>
      </c>
    </row>
    <row r="13" spans="1:12" ht="15" customHeight="1" x14ac:dyDescent="0.3">
      <c r="A13" t="s">
        <v>31</v>
      </c>
      <c r="B13" s="5">
        <v>0</v>
      </c>
      <c r="C13" s="5">
        <f>SUMIFS('Daily Cost Tracker'!F:F,'Daily Cost Tracker'!B:B,"Lambda",'Daily Cost Tracker'!C:C,"*Tag Audit*")</f>
        <v>0</v>
      </c>
      <c r="D13" s="5">
        <f t="shared" si="0"/>
        <v>0</v>
      </c>
      <c r="F13" s="26">
        <v>46053</v>
      </c>
      <c r="G13" s="27" t="s">
        <v>128</v>
      </c>
      <c r="H13" s="27" t="s">
        <v>16</v>
      </c>
      <c r="I13" s="27" t="s">
        <v>141</v>
      </c>
      <c r="J13" s="27" t="s">
        <v>138</v>
      </c>
      <c r="K13" s="28">
        <v>1.2E-2</v>
      </c>
      <c r="L13" s="27" t="s">
        <v>139</v>
      </c>
    </row>
    <row r="14" spans="1:12" ht="15" customHeight="1" x14ac:dyDescent="0.3">
      <c r="A14" t="s">
        <v>32</v>
      </c>
      <c r="B14" s="5">
        <v>0</v>
      </c>
      <c r="C14" s="5">
        <f>SUMIF('Daily Cost Tracker'!B:B,"EventBridge",'Daily Cost Tracker'!F:F)</f>
        <v>0</v>
      </c>
      <c r="D14" s="5">
        <f t="shared" si="0"/>
        <v>0</v>
      </c>
      <c r="F14" s="27"/>
      <c r="G14" s="27"/>
      <c r="H14" s="27"/>
      <c r="I14" s="27"/>
      <c r="J14" s="29" t="s">
        <v>142</v>
      </c>
      <c r="K14" s="30">
        <v>3.7999999999999999E-2</v>
      </c>
      <c r="L14" s="27"/>
    </row>
    <row r="15" spans="1:12" ht="15" customHeight="1" x14ac:dyDescent="0.3">
      <c r="A15" s="6" t="s">
        <v>33</v>
      </c>
      <c r="B15" s="9">
        <f>SUM(B6:B14)</f>
        <v>11.1</v>
      </c>
      <c r="C15" s="9">
        <f>SUM(C6:C14)</f>
        <v>2.3025099999999998</v>
      </c>
      <c r="D15" s="9">
        <f t="shared" si="0"/>
        <v>-8.7974899999999998</v>
      </c>
    </row>
    <row r="16" spans="1:12" ht="15" customHeight="1" x14ac:dyDescent="0.3">
      <c r="F16" s="23" t="s">
        <v>143</v>
      </c>
    </row>
    <row r="18" spans="1:9" ht="15" customHeight="1" x14ac:dyDescent="0.3">
      <c r="A18" s="6" t="s">
        <v>34</v>
      </c>
      <c r="F18" s="24" t="s">
        <v>125</v>
      </c>
      <c r="G18" s="24" t="s">
        <v>144</v>
      </c>
      <c r="H18" s="24" t="s">
        <v>127</v>
      </c>
      <c r="I18" s="24" t="s">
        <v>145</v>
      </c>
    </row>
    <row r="19" spans="1:9" ht="15" customHeight="1" x14ac:dyDescent="0.3">
      <c r="F19" s="27" t="s">
        <v>146</v>
      </c>
      <c r="G19" s="27" t="s">
        <v>147</v>
      </c>
      <c r="H19" s="28">
        <v>0</v>
      </c>
      <c r="I19" s="28">
        <v>25</v>
      </c>
    </row>
    <row r="20" spans="1:9" ht="15" customHeight="1" x14ac:dyDescent="0.3">
      <c r="A20" s="10" t="s">
        <v>35</v>
      </c>
      <c r="B20" s="10" t="s">
        <v>36</v>
      </c>
      <c r="C20" s="10" t="s">
        <v>37</v>
      </c>
      <c r="D20" s="10" t="s">
        <v>38</v>
      </c>
      <c r="F20" s="27" t="s">
        <v>148</v>
      </c>
      <c r="G20" s="27" t="s">
        <v>149</v>
      </c>
      <c r="H20" s="28">
        <v>0</v>
      </c>
      <c r="I20" s="28">
        <v>25</v>
      </c>
    </row>
    <row r="21" spans="1:9" ht="15" customHeight="1" x14ac:dyDescent="0.3">
      <c r="A21" t="s">
        <v>26</v>
      </c>
      <c r="B21" t="s">
        <v>39</v>
      </c>
      <c r="C21" t="s">
        <v>40</v>
      </c>
      <c r="D21">
        <v>1.1499999999999999</v>
      </c>
      <c r="F21" s="27" t="s">
        <v>150</v>
      </c>
      <c r="G21" s="27" t="s">
        <v>147</v>
      </c>
      <c r="H21" s="28">
        <v>0</v>
      </c>
      <c r="I21" s="28">
        <v>25</v>
      </c>
    </row>
    <row r="22" spans="1:9" ht="15" customHeight="1" x14ac:dyDescent="0.3">
      <c r="A22" t="s">
        <v>41</v>
      </c>
      <c r="B22" t="s">
        <v>42</v>
      </c>
      <c r="C22" t="s">
        <v>43</v>
      </c>
      <c r="D22">
        <v>0.01</v>
      </c>
      <c r="F22" s="27" t="s">
        <v>151</v>
      </c>
      <c r="G22" s="27" t="s">
        <v>152</v>
      </c>
      <c r="H22" s="28">
        <v>3.7999999999999999E-2</v>
      </c>
      <c r="I22" s="28">
        <v>24.96</v>
      </c>
    </row>
    <row r="23" spans="1:9" ht="15" customHeight="1" x14ac:dyDescent="0.3">
      <c r="A23" t="s">
        <v>13</v>
      </c>
      <c r="B23" t="s">
        <v>44</v>
      </c>
      <c r="C23" t="s">
        <v>45</v>
      </c>
      <c r="D23">
        <v>1.25</v>
      </c>
      <c r="F23" s="29" t="s">
        <v>153</v>
      </c>
      <c r="G23" s="29" t="s">
        <v>154</v>
      </c>
      <c r="H23" s="30">
        <v>3.7999999999999999E-2</v>
      </c>
      <c r="I23" s="30">
        <v>24.96</v>
      </c>
    </row>
    <row r="24" spans="1:9" ht="15" customHeight="1" x14ac:dyDescent="0.3">
      <c r="A24" t="s">
        <v>10</v>
      </c>
      <c r="B24" t="s">
        <v>46</v>
      </c>
      <c r="C24" t="s">
        <v>47</v>
      </c>
      <c r="D24">
        <v>1.5</v>
      </c>
    </row>
    <row r="25" spans="1:9" ht="15" customHeight="1" x14ac:dyDescent="0.3">
      <c r="A25" t="s">
        <v>16</v>
      </c>
      <c r="B25" t="s">
        <v>48</v>
      </c>
      <c r="C25" t="s">
        <v>49</v>
      </c>
      <c r="D25">
        <v>10</v>
      </c>
    </row>
    <row r="26" spans="1:9" ht="15" customHeight="1" x14ac:dyDescent="0.3">
      <c r="A26" t="s">
        <v>28</v>
      </c>
      <c r="B26" t="s">
        <v>50</v>
      </c>
      <c r="C26" t="s">
        <v>51</v>
      </c>
      <c r="D26">
        <v>0.01</v>
      </c>
    </row>
    <row r="27" spans="1:9" ht="15" customHeight="1" x14ac:dyDescent="0.3">
      <c r="A27" t="s">
        <v>52</v>
      </c>
      <c r="B27" t="s">
        <v>53</v>
      </c>
      <c r="C27" t="s">
        <v>54</v>
      </c>
      <c r="D27">
        <v>2</v>
      </c>
    </row>
    <row r="28" spans="1:9" ht="15" customHeight="1" x14ac:dyDescent="0.3">
      <c r="A28" t="s">
        <v>31</v>
      </c>
      <c r="B28" t="s">
        <v>55</v>
      </c>
      <c r="C28" t="s">
        <v>56</v>
      </c>
      <c r="D28" s="5">
        <v>0</v>
      </c>
    </row>
    <row r="29" spans="1:9" ht="15" customHeight="1" x14ac:dyDescent="0.3">
      <c r="A29" t="s">
        <v>57</v>
      </c>
      <c r="B29" t="s">
        <v>58</v>
      </c>
      <c r="C29" t="s">
        <v>56</v>
      </c>
      <c r="D29" s="5">
        <v>0</v>
      </c>
    </row>
    <row r="30" spans="1:9" ht="15" customHeight="1" x14ac:dyDescent="0.3">
      <c r="A30" t="s">
        <v>59</v>
      </c>
      <c r="B30" t="s">
        <v>60</v>
      </c>
      <c r="C30" t="s">
        <v>61</v>
      </c>
      <c r="D30" s="5">
        <f>SUM(D19:D29)</f>
        <v>15.92</v>
      </c>
    </row>
    <row r="31" spans="1:9" ht="15" customHeight="1" x14ac:dyDescent="0.3">
      <c r="A31" s="11" t="s">
        <v>62</v>
      </c>
      <c r="D31" s="12">
        <f>SUM(D19:D26)</f>
        <v>13.92</v>
      </c>
    </row>
    <row r="32" spans="1:9" ht="15" customHeight="1" x14ac:dyDescent="0.3">
      <c r="A32" s="11" t="s">
        <v>63</v>
      </c>
      <c r="D32" s="13">
        <f>D27*12</f>
        <v>24</v>
      </c>
    </row>
    <row r="33" spans="1:3" ht="15" customHeight="1" x14ac:dyDescent="0.3"/>
    <row r="34" spans="1:3" ht="15" customHeight="1" x14ac:dyDescent="0.3"/>
    <row r="35" spans="1:3" ht="15" customHeight="1" x14ac:dyDescent="0.3">
      <c r="A35" s="14" t="s">
        <v>64</v>
      </c>
    </row>
    <row r="36" spans="1:3" ht="15" customHeight="1" x14ac:dyDescent="0.3">
      <c r="B36" s="15"/>
      <c r="C36" s="16"/>
    </row>
    <row r="37" spans="1:3" ht="15" customHeight="1" x14ac:dyDescent="0.3">
      <c r="B37" t="s">
        <v>65</v>
      </c>
      <c r="C37" t="s">
        <v>66</v>
      </c>
    </row>
    <row r="38" spans="1:3" ht="15" customHeight="1" x14ac:dyDescent="0.3">
      <c r="A38" t="s">
        <v>67</v>
      </c>
      <c r="B38">
        <v>25</v>
      </c>
      <c r="C38">
        <v>4.2</v>
      </c>
    </row>
    <row r="39" spans="1:3" ht="15" customHeight="1" x14ac:dyDescent="0.3">
      <c r="A39" t="s">
        <v>68</v>
      </c>
      <c r="B39">
        <v>25</v>
      </c>
      <c r="C39">
        <v>25</v>
      </c>
    </row>
    <row r="40" spans="1:3" ht="15" customHeight="1" x14ac:dyDescent="0.3">
      <c r="A40" t="s">
        <v>69</v>
      </c>
      <c r="B40" s="5">
        <v>0</v>
      </c>
      <c r="C40" s="5">
        <f>D27</f>
        <v>2</v>
      </c>
    </row>
    <row r="41" spans="1:3" ht="15" customHeight="1" x14ac:dyDescent="0.3">
      <c r="A41" t="s">
        <v>70</v>
      </c>
      <c r="B41">
        <v>0</v>
      </c>
      <c r="C41" s="5">
        <f>D27</f>
        <v>2</v>
      </c>
    </row>
    <row r="42" spans="1:3" ht="15" customHeight="1" x14ac:dyDescent="0.3">
      <c r="A42" t="s">
        <v>71</v>
      </c>
      <c r="B42" s="5">
        <f>B35</f>
        <v>0</v>
      </c>
      <c r="C42" s="5">
        <f>C35+C36</f>
        <v>0</v>
      </c>
    </row>
    <row r="43" spans="1:3" ht="15" customHeight="1" x14ac:dyDescent="0.3">
      <c r="C43" s="17"/>
    </row>
    <row r="44" spans="1:3" ht="15" customHeight="1" x14ac:dyDescent="0.3">
      <c r="A44" t="s">
        <v>72</v>
      </c>
      <c r="B44">
        <v>0</v>
      </c>
      <c r="C44" s="18">
        <f>B44*12</f>
        <v>0</v>
      </c>
    </row>
    <row r="45" spans="1:3" ht="15" customHeight="1" x14ac:dyDescent="0.3">
      <c r="A45" t="s">
        <v>73</v>
      </c>
      <c r="C45" s="19">
        <f>C39*12</f>
        <v>300</v>
      </c>
    </row>
    <row r="46" spans="1:3" ht="15" customHeight="1" x14ac:dyDescent="0.3">
      <c r="A46" t="s">
        <v>74</v>
      </c>
      <c r="C46" s="20">
        <f>(C40/D27)/12*100</f>
        <v>8.3333333333333321</v>
      </c>
    </row>
    <row r="49" spans="1:5" ht="15" customHeight="1" x14ac:dyDescent="0.3">
      <c r="A49" s="6" t="s">
        <v>75</v>
      </c>
    </row>
    <row r="51" spans="1:5" ht="15" customHeight="1" x14ac:dyDescent="0.3">
      <c r="A51" s="10" t="s">
        <v>76</v>
      </c>
      <c r="B51" s="10" t="s">
        <v>38</v>
      </c>
      <c r="C51" s="10" t="s">
        <v>77</v>
      </c>
      <c r="D51" s="10" t="s">
        <v>78</v>
      </c>
      <c r="E51" s="10" t="s">
        <v>79</v>
      </c>
    </row>
    <row r="52" spans="1:5" ht="15" customHeight="1" x14ac:dyDescent="0.3">
      <c r="A52" t="s">
        <v>80</v>
      </c>
      <c r="B52" s="5">
        <v>0.08</v>
      </c>
      <c r="C52" s="5">
        <f>B50*12</f>
        <v>0</v>
      </c>
      <c r="D52" t="s">
        <v>81</v>
      </c>
      <c r="E52" t="s">
        <v>82</v>
      </c>
    </row>
    <row r="53" spans="1:5" ht="15" customHeight="1" x14ac:dyDescent="0.3">
      <c r="A53" t="s">
        <v>83</v>
      </c>
      <c r="B53" s="5">
        <v>0</v>
      </c>
      <c r="C53" s="5">
        <v>0</v>
      </c>
      <c r="D53" t="s">
        <v>84</v>
      </c>
      <c r="E53" t="s">
        <v>85</v>
      </c>
    </row>
    <row r="54" spans="1:5" ht="15" customHeight="1" x14ac:dyDescent="0.3">
      <c r="A54" t="s">
        <v>86</v>
      </c>
      <c r="B54" s="5">
        <v>0</v>
      </c>
      <c r="C54" s="5">
        <f>B52*12</f>
        <v>0.96</v>
      </c>
      <c r="D54" t="s">
        <v>87</v>
      </c>
      <c r="E54" t="s">
        <v>88</v>
      </c>
    </row>
    <row r="56" spans="1:5" ht="15" customHeight="1" x14ac:dyDescent="0.3">
      <c r="A56" s="17" t="s">
        <v>89</v>
      </c>
      <c r="C56" s="18">
        <v>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2"/>
  <sheetViews>
    <sheetView topLeftCell="A18" zoomScaleNormal="100" workbookViewId="0">
      <selection sqref="A1:B1"/>
    </sheetView>
  </sheetViews>
  <sheetFormatPr defaultColWidth="8.6640625" defaultRowHeight="14.4" x14ac:dyDescent="0.3"/>
  <cols>
    <col min="1" max="1" width="50" customWidth="1"/>
    <col min="2" max="2" width="35" customWidth="1"/>
  </cols>
  <sheetData>
    <row r="1" spans="1:2" ht="17.25" customHeight="1" x14ac:dyDescent="0.3">
      <c r="A1" s="1" t="s">
        <v>90</v>
      </c>
      <c r="B1" s="1"/>
    </row>
    <row r="3" spans="1:2" ht="15" customHeight="1" x14ac:dyDescent="0.3">
      <c r="A3" s="21" t="s">
        <v>91</v>
      </c>
    </row>
    <row r="4" spans="1:2" ht="15" customHeight="1" x14ac:dyDescent="0.3">
      <c r="A4" t="s">
        <v>92</v>
      </c>
    </row>
    <row r="5" spans="1:2" ht="15" customHeight="1" x14ac:dyDescent="0.3">
      <c r="A5" t="s">
        <v>93</v>
      </c>
    </row>
    <row r="6" spans="1:2" ht="15" customHeight="1" x14ac:dyDescent="0.3">
      <c r="A6" t="s">
        <v>94</v>
      </c>
    </row>
    <row r="7" spans="1:2" ht="15" customHeight="1" x14ac:dyDescent="0.3">
      <c r="A7" t="s">
        <v>95</v>
      </c>
    </row>
    <row r="9" spans="1:2" ht="15" customHeight="1" x14ac:dyDescent="0.3">
      <c r="A9" s="21" t="s">
        <v>96</v>
      </c>
    </row>
    <row r="10" spans="1:2" ht="15" customHeight="1" x14ac:dyDescent="0.3">
      <c r="A10" t="s">
        <v>97</v>
      </c>
    </row>
    <row r="11" spans="1:2" ht="15" customHeight="1" x14ac:dyDescent="0.3">
      <c r="A11" t="s">
        <v>98</v>
      </c>
    </row>
    <row r="12" spans="1:2" ht="15" customHeight="1" x14ac:dyDescent="0.3">
      <c r="A12" t="s">
        <v>99</v>
      </c>
    </row>
    <row r="13" spans="1:2" ht="15" customHeight="1" x14ac:dyDescent="0.3">
      <c r="A13" t="s">
        <v>100</v>
      </c>
    </row>
    <row r="14" spans="1:2" ht="15" customHeight="1" x14ac:dyDescent="0.3">
      <c r="A14" t="s">
        <v>101</v>
      </c>
    </row>
    <row r="15" spans="1:2" ht="15" customHeight="1" x14ac:dyDescent="0.3">
      <c r="A15" t="s">
        <v>102</v>
      </c>
    </row>
    <row r="17" spans="1:2" ht="15" customHeight="1" x14ac:dyDescent="0.3">
      <c r="A17" s="21" t="s">
        <v>103</v>
      </c>
    </row>
    <row r="18" spans="1:2" ht="15" customHeight="1" x14ac:dyDescent="0.3">
      <c r="A18" t="s">
        <v>104</v>
      </c>
    </row>
    <row r="19" spans="1:2" ht="15" customHeight="1" x14ac:dyDescent="0.3">
      <c r="A19" t="s">
        <v>105</v>
      </c>
    </row>
    <row r="20" spans="1:2" ht="15" customHeight="1" x14ac:dyDescent="0.3">
      <c r="A20" t="s">
        <v>106</v>
      </c>
    </row>
    <row r="21" spans="1:2" ht="15" customHeight="1" x14ac:dyDescent="0.3">
      <c r="A21" t="s">
        <v>107</v>
      </c>
    </row>
    <row r="23" spans="1:2" ht="15" customHeight="1" x14ac:dyDescent="0.3">
      <c r="A23" t="s">
        <v>108</v>
      </c>
    </row>
    <row r="24" spans="1:2" ht="15" customHeight="1" x14ac:dyDescent="0.3">
      <c r="A24" t="s">
        <v>109</v>
      </c>
      <c r="B24" t="s">
        <v>110</v>
      </c>
    </row>
    <row r="25" spans="1:2" ht="15" customHeight="1" x14ac:dyDescent="0.3">
      <c r="A25" s="22" t="s">
        <v>111</v>
      </c>
      <c r="B25" t="s">
        <v>112</v>
      </c>
    </row>
    <row r="26" spans="1:2" ht="15" customHeight="1" x14ac:dyDescent="0.3">
      <c r="A26" t="s">
        <v>113</v>
      </c>
      <c r="B26" t="s">
        <v>114</v>
      </c>
    </row>
    <row r="28" spans="1:2" ht="15" customHeight="1" x14ac:dyDescent="0.3">
      <c r="A28" t="s">
        <v>115</v>
      </c>
    </row>
    <row r="29" spans="1:2" ht="15" customHeight="1" x14ac:dyDescent="0.3">
      <c r="A29" t="s">
        <v>116</v>
      </c>
      <c r="B29" t="s">
        <v>117</v>
      </c>
    </row>
    <row r="30" spans="1:2" ht="15" customHeight="1" x14ac:dyDescent="0.3">
      <c r="A30" t="s">
        <v>118</v>
      </c>
      <c r="B30" t="s">
        <v>119</v>
      </c>
    </row>
    <row r="31" spans="1:2" ht="15" customHeight="1" x14ac:dyDescent="0.3">
      <c r="A31" s="22" t="s">
        <v>120</v>
      </c>
      <c r="B31" t="s">
        <v>121</v>
      </c>
    </row>
    <row r="32" spans="1:2" ht="15" customHeight="1" x14ac:dyDescent="0.3">
      <c r="A32" t="s">
        <v>122</v>
      </c>
      <c r="B32" t="s">
        <v>123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Cost Tracker</vt:lpstr>
      <vt:lpstr>Cost Summary</vt:lpstr>
      <vt:lpstr>Cost Alert 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Carlandra Williams</cp:lastModifiedBy>
  <cp:revision>0</cp:revision>
  <dcterms:created xsi:type="dcterms:W3CDTF">2026-01-07T11:29:28Z</dcterms:created>
  <dcterms:modified xsi:type="dcterms:W3CDTF">2026-02-19T13:36:57Z</dcterms:modified>
  <dc:language>en-US</dc:language>
</cp:coreProperties>
</file>